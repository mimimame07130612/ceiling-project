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sの見当" sheetId="1" state="visible" r:id="rId3"/>
    <sheet name="成否の見立て" sheetId="2" state="visible" r:id="rId4"/>
    <sheet name="未確認の前提" sheetId="3" state="visible" r:id="rId5"/>
    <sheet name="次の選択肢" sheetId="4" state="visible" r:id="rId6"/>
    <sheet name="出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<sst xmlns="http://schemas.openxmlformats.org/spreadsheetml/2006/main" count="113" uniqueCount="95">
  <si>
    <r>
      <rPr>
        <b val="true"/>
        <sz val="13"/>
        <rFont val="Yu Gothic"/>
        <family val="0"/>
        <charset val="1"/>
      </rPr>
      <t xml:space="preserve">K072 </t>
    </r>
    <r>
      <rPr>
        <b val="true"/>
        <sz val="13"/>
        <rFont val="Noto Sans CJK SC"/>
        <family val="2"/>
      </rPr>
      <t xml:space="preserve">ねじの引抜き方向のばね </t>
    </r>
    <r>
      <rPr>
        <b val="true"/>
        <sz val="13"/>
        <rFont val="Yu Gothic"/>
        <family val="0"/>
        <charset val="1"/>
      </rPr>
      <t xml:space="preserve">ks </t>
    </r>
    <r>
      <rPr>
        <b val="true"/>
        <sz val="13"/>
        <rFont val="Noto Sans CJK SC"/>
        <family val="2"/>
      </rPr>
      <t xml:space="preserve">の見当</t>
    </r>
  </si>
  <si>
    <t xml:space="preserve">青字＝入力値（変えると再計算）、黒字＝計算式。黄色＝今後確かめたい前提。</t>
  </si>
  <si>
    <t xml:space="preserve">入力</t>
  </si>
  <si>
    <t xml:space="preserve">値</t>
  </si>
  <si>
    <t xml:space="preserve">単位</t>
  </si>
  <si>
    <t xml:space="preserve">根拠</t>
  </si>
  <si>
    <r>
      <rPr>
        <sz val="11"/>
        <rFont val="Noto Sans CJK SC"/>
        <family val="2"/>
      </rPr>
      <t xml:space="preserve">ねじ径 </t>
    </r>
    <r>
      <rPr>
        <sz val="11"/>
        <rFont val="Yu Gothic"/>
        <family val="0"/>
        <charset val="1"/>
      </rPr>
      <t xml:space="preserve">d</t>
    </r>
  </si>
  <si>
    <t xml:space="preserve">mm</t>
  </si>
  <si>
    <r>
      <rPr>
        <sz val="11"/>
        <rFont val="Yu Gothic"/>
        <family val="0"/>
        <charset val="1"/>
      </rPr>
      <t xml:space="preserve">X</t>
    </r>
    <r>
      <rPr>
        <sz val="11"/>
        <rFont val="Noto Sans CJK SC"/>
        <family val="2"/>
      </rPr>
      <t xml:space="preserve">ポイントビス よび径</t>
    </r>
    <r>
      <rPr>
        <sz val="11"/>
        <rFont val="Yu Gothic"/>
        <family val="0"/>
        <charset val="1"/>
      </rPr>
      <t xml:space="preserve">6.0</t>
    </r>
    <r>
      <rPr>
        <sz val="11"/>
        <rFont val="Noto Sans CJK SC"/>
        <family val="2"/>
      </rPr>
      <t xml:space="preserve">（若井産業 木質構造用ねじカタログ </t>
    </r>
    <r>
      <rPr>
        <sz val="11"/>
        <rFont val="Yu Gothic"/>
        <family val="0"/>
        <charset val="1"/>
      </rPr>
      <t xml:space="preserve">202504I</t>
    </r>
    <r>
      <rPr>
        <sz val="11"/>
        <rFont val="Noto Sans CJK SC"/>
        <family val="2"/>
      </rPr>
      <t xml:space="preserve">改）</t>
    </r>
  </si>
  <si>
    <r>
      <rPr>
        <sz val="11"/>
        <rFont val="Noto Sans CJK SC"/>
        <family val="2"/>
      </rPr>
      <t xml:space="preserve">ねじ部の有効長さ </t>
    </r>
    <r>
      <rPr>
        <sz val="11"/>
        <rFont val="Yu Gothic"/>
        <family val="0"/>
        <charset val="1"/>
      </rPr>
      <t xml:space="preserve">lef</t>
    </r>
  </si>
  <si>
    <r>
      <rPr>
        <sz val="11"/>
        <rFont val="Yu Gothic"/>
        <family val="0"/>
        <charset val="1"/>
      </rPr>
      <t xml:space="preserve">DXP6100</t>
    </r>
    <r>
      <rPr>
        <sz val="11"/>
        <rFont val="Noto Sans CJK SC"/>
        <family val="2"/>
      </rPr>
      <t xml:space="preserve">（全長</t>
    </r>
    <r>
      <rPr>
        <sz val="11"/>
        <rFont val="Yu Gothic"/>
        <family val="0"/>
        <charset val="1"/>
      </rPr>
      <t xml:space="preserve">100</t>
    </r>
    <r>
      <rPr>
        <sz val="11"/>
        <rFont val="Noto Sans CJK SC"/>
        <family val="2"/>
      </rPr>
      <t xml:space="preserve">・ねじ長</t>
    </r>
    <r>
      <rPr>
        <sz val="11"/>
        <rFont val="Yu Gothic"/>
        <family val="0"/>
        <charset val="1"/>
      </rPr>
      <t xml:space="preserve">30</t>
    </r>
    <r>
      <rPr>
        <sz val="11"/>
        <rFont val="Noto Sans CJK SC"/>
        <family val="2"/>
      </rPr>
      <t xml:space="preserve">）。梁の幅</t>
    </r>
    <r>
      <rPr>
        <sz val="11"/>
        <rFont val="Yu Gothic"/>
        <family val="0"/>
        <charset val="1"/>
      </rPr>
      <t xml:space="preserve">10.5</t>
    </r>
    <r>
      <rPr>
        <sz val="11"/>
        <rFont val="Noto Sans CJK SC"/>
        <family val="2"/>
      </rPr>
      <t xml:space="preserve">（部屋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SC"/>
        <family val="2"/>
      </rPr>
      <t xml:space="preserve">）を突き抜けない最長</t>
    </r>
  </si>
  <si>
    <r>
      <rPr>
        <sz val="11"/>
        <rFont val="Noto Sans CJK SC"/>
        <family val="2"/>
      </rPr>
      <t xml:space="preserve">木材の密度 </t>
    </r>
    <r>
      <rPr>
        <sz val="11"/>
        <rFont val="Yu Gothic"/>
        <family val="0"/>
        <charset val="1"/>
      </rPr>
      <t xml:space="preserve">ρ</t>
    </r>
    <r>
      <rPr>
        <sz val="11"/>
        <rFont val="Noto Sans CJK SC"/>
        <family val="2"/>
      </rPr>
      <t xml:space="preserve">（低）</t>
    </r>
  </si>
  <si>
    <t xml:space="preserve">kg/m³</t>
  </si>
  <si>
    <t xml:space="preserve">仮。梁の樹種・等級は未確認</t>
  </si>
  <si>
    <r>
      <rPr>
        <sz val="11"/>
        <rFont val="Noto Sans CJK SC"/>
        <family val="2"/>
      </rPr>
      <t xml:space="preserve">木材の密度 </t>
    </r>
    <r>
      <rPr>
        <sz val="11"/>
        <rFont val="Yu Gothic"/>
        <family val="0"/>
        <charset val="1"/>
      </rPr>
      <t xml:space="preserve">ρ</t>
    </r>
    <r>
      <rPr>
        <sz val="11"/>
        <rFont val="Noto Sans CJK SC"/>
        <family val="2"/>
      </rPr>
      <t xml:space="preserve">（高）</t>
    </r>
  </si>
  <si>
    <t xml:space="preserve">式</t>
  </si>
  <si>
    <t xml:space="preserve">ks</t>
  </si>
  <si>
    <t xml:space="preserve">出典・注記</t>
  </si>
  <si>
    <t xml:space="preserve">Kser = 25·d·lef</t>
  </si>
  <si>
    <t xml:space="preserve">N/mm</t>
  </si>
  <si>
    <r>
      <rPr>
        <sz val="11"/>
        <rFont val="Yu Gothic"/>
        <family val="0"/>
        <charset val="1"/>
      </rPr>
      <t xml:space="preserve">ETA-12/0062 </t>
    </r>
    <r>
      <rPr>
        <sz val="11"/>
        <rFont val="Noto Sans CJK SC"/>
        <family val="2"/>
      </rPr>
      <t xml:space="preserve">などの形（</t>
    </r>
    <r>
      <rPr>
        <sz val="11"/>
        <rFont val="Yu Gothic"/>
        <family val="0"/>
        <charset val="1"/>
      </rPr>
      <t xml:space="preserve">KIT Karlsruher Berichte zum Ingenieurholzbau Bd.34 </t>
    </r>
    <r>
      <rPr>
        <sz val="11"/>
        <rFont val="Noto Sans CJK SC"/>
        <family val="2"/>
      </rPr>
      <t xml:space="preserve">で紹介）</t>
    </r>
  </si>
  <si>
    <t xml:space="preserve">Kser = 780·d^0.2·lef^0.4</t>
  </si>
  <si>
    <r>
      <rPr>
        <sz val="11"/>
        <rFont val="Yu Gothic"/>
        <family val="0"/>
        <charset val="1"/>
      </rPr>
      <t xml:space="preserve">ETA-11/0190 </t>
    </r>
    <r>
      <rPr>
        <sz val="11"/>
        <rFont val="Noto Sans CJK SC"/>
        <family val="2"/>
      </rPr>
      <t xml:space="preserve">などの形（同上）</t>
    </r>
  </si>
  <si>
    <r>
      <rPr>
        <sz val="11"/>
        <rFont val="Yu Gothic"/>
        <family val="0"/>
        <charset val="1"/>
      </rPr>
      <t xml:space="preserve">Kser = 234·ρ^0.2·d^0.2·lef^0.4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ρ</t>
    </r>
    <r>
      <rPr>
        <sz val="11"/>
        <rFont val="Noto Sans CJK SC"/>
        <family val="2"/>
      </rPr>
      <t xml:space="preserve">低）</t>
    </r>
  </si>
  <si>
    <r>
      <rPr>
        <sz val="11"/>
        <rFont val="Yu Gothic"/>
        <family val="0"/>
        <charset val="1"/>
      </rPr>
      <t xml:space="preserve">COST FP1402 STSM</t>
    </r>
    <r>
      <rPr>
        <sz val="11"/>
        <rFont val="Noto Sans CJK SC"/>
        <family val="2"/>
      </rPr>
      <t xml:space="preserve">報告で比較されている式</t>
    </r>
  </si>
  <si>
    <r>
      <rPr>
        <sz val="11"/>
        <rFont val="Yu Gothic"/>
        <family val="0"/>
        <charset val="1"/>
      </rPr>
      <t xml:space="preserve">Kser = 234·ρ^0.2·d^0.2·lef^0.4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ρ</t>
    </r>
    <r>
      <rPr>
        <sz val="11"/>
        <rFont val="Noto Sans CJK SC"/>
        <family val="2"/>
      </rPr>
      <t xml:space="preserve">高）</t>
    </r>
  </si>
  <si>
    <t xml:space="preserve">同上</t>
  </si>
  <si>
    <r>
      <rPr>
        <b val="true"/>
        <sz val="11"/>
        <rFont val="Yu Gothic"/>
        <family val="0"/>
        <charset val="1"/>
      </rPr>
      <t xml:space="preserve">ks </t>
    </r>
    <r>
      <rPr>
        <b val="true"/>
        <sz val="11"/>
        <rFont val="Noto Sans CJK SC"/>
        <family val="2"/>
      </rPr>
      <t xml:space="preserve">の見当（最小）</t>
    </r>
  </si>
  <si>
    <r>
      <rPr>
        <b val="true"/>
        <sz val="11"/>
        <rFont val="Yu Gothic"/>
        <family val="0"/>
        <charset val="1"/>
      </rPr>
      <t xml:space="preserve">ks </t>
    </r>
    <r>
      <rPr>
        <b val="true"/>
        <sz val="11"/>
        <rFont val="Noto Sans CJK SC"/>
        <family val="2"/>
      </rPr>
      <t xml:space="preserve">の見当（最大）</t>
    </r>
  </si>
  <si>
    <r>
      <rPr>
        <sz val="11"/>
        <rFont val="Noto Sans CJK SC"/>
        <family val="2"/>
      </rPr>
      <t xml:space="preserve">注：式はいずれも欧州の全ねじタイプの自己穿孔ねじ用。</t>
    </r>
    <r>
      <rPr>
        <sz val="11"/>
        <rFont val="Yu Gothic"/>
        <family val="0"/>
        <charset val="1"/>
      </rPr>
      <t xml:space="preserve">X</t>
    </r>
    <r>
      <rPr>
        <sz val="11"/>
        <rFont val="Noto Sans CJK SC"/>
        <family val="2"/>
      </rPr>
      <t xml:space="preserve">ポイントビス（半ねじ）にそのまま当てはまるとは限らない。</t>
    </r>
    <r>
      <rPr>
        <sz val="11"/>
        <rFont val="Yu Gothic"/>
        <family val="0"/>
        <charset val="1"/>
      </rPr>
      <t xml:space="preserve">COST FP1402</t>
    </r>
    <r>
      <rPr>
        <sz val="11"/>
        <rFont val="Noto Sans CJK SC"/>
        <family val="2"/>
      </rPr>
      <t xml:space="preserve">の報告では、モデル間の予測値の食い違いが大きいと指摘されている。</t>
    </r>
  </si>
  <si>
    <r>
      <rPr>
        <b val="true"/>
        <sz val="13"/>
        <rFont val="Noto Sans CJK SC"/>
        <family val="2"/>
      </rPr>
      <t xml:space="preserve">案</t>
    </r>
    <r>
      <rPr>
        <b val="true"/>
        <sz val="13"/>
        <rFont val="Yu Gothic"/>
        <family val="0"/>
        <charset val="1"/>
      </rPr>
      <t xml:space="preserve">(D3)</t>
    </r>
    <r>
      <rPr>
        <b val="true"/>
        <sz val="13"/>
        <rFont val="Noto Sans CJK SC"/>
        <family val="2"/>
      </rPr>
      <t xml:space="preserve">の必要引抜き耐力とねじ長</t>
    </r>
    <r>
      <rPr>
        <b val="true"/>
        <sz val="13"/>
        <rFont val="Yu Gothic"/>
        <family val="0"/>
        <charset val="1"/>
      </rPr>
      <t xml:space="preserve">30</t>
    </r>
    <r>
      <rPr>
        <b val="true"/>
        <sz val="13"/>
        <rFont val="Noto Sans CJK SC"/>
        <family val="2"/>
      </rPr>
      <t xml:space="preserve">の下限の比較（使用位置・地震 </t>
    </r>
    <r>
      <rPr>
        <b val="true"/>
        <sz val="13"/>
        <rFont val="Yu Gothic"/>
        <family val="0"/>
        <charset val="1"/>
      </rPr>
      <t xml:space="preserve">KH=2.0</t>
    </r>
    <r>
      <rPr>
        <b val="true"/>
        <sz val="13"/>
        <rFont val="Noto Sans CJK SC"/>
        <family val="2"/>
      </rPr>
      <t xml:space="preserve">・右側）</t>
    </r>
  </si>
  <si>
    <r>
      <rPr>
        <b val="true"/>
        <sz val="11"/>
        <rFont val="Yu Gothic"/>
        <family val="0"/>
        <charset val="1"/>
      </rPr>
      <t xml:space="preserve">ks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Yu Gothic"/>
        <family val="0"/>
        <charset val="1"/>
      </rPr>
      <t xml:space="preserve">N/mm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</si>
  <si>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必要引抜き耐力（</t>
    </r>
    <r>
      <rPr>
        <b val="true"/>
        <sz val="11"/>
        <rFont val="Yu Gothic"/>
        <family val="0"/>
        <charset val="1"/>
      </rPr>
      <t xml:space="preserve">N</t>
    </r>
    <r>
      <rPr>
        <b val="true"/>
        <sz val="11"/>
        <rFont val="Noto Sans CJK SC"/>
        <family val="2"/>
      </rPr>
      <t xml:space="preserve">）</t>
    </r>
  </si>
  <si>
    <t xml:space="preserve">出典</t>
  </si>
  <si>
    <r>
      <rPr>
        <sz val="11"/>
        <rFont val="Yu Gothic"/>
        <family val="0"/>
        <charset val="1"/>
      </rPr>
      <t xml:space="preserve">K070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2610030957</t>
    </r>
    <r>
      <rPr>
        <sz val="11"/>
        <rFont val="Noto Sans CJK SC"/>
        <family val="2"/>
      </rPr>
      <t xml:space="preserve">版）案</t>
    </r>
    <r>
      <rPr>
        <sz val="11"/>
        <rFont val="Yu Gothic"/>
        <family val="0"/>
        <charset val="1"/>
      </rPr>
      <t xml:space="preserve">(D3)</t>
    </r>
    <r>
      <rPr>
        <sz val="11"/>
        <rFont val="Noto Sans CJK SC"/>
        <family val="2"/>
      </rPr>
      <t xml:space="preserve">、</t>
    </r>
    <r>
      <rPr>
        <sz val="11"/>
        <rFont val="Yu Gothic"/>
        <family val="0"/>
        <charset val="1"/>
      </rPr>
      <t xml:space="preserve">1</t>
    </r>
    <r>
      <rPr>
        <sz val="11"/>
        <rFont val="Noto Sans CJK SC"/>
        <family val="2"/>
      </rPr>
      <t xml:space="preserve">本抜け</t>
    </r>
    <r>
      <rPr>
        <sz val="11"/>
        <rFont val="Yu Gothic"/>
        <family val="0"/>
        <charset val="1"/>
      </rPr>
      <t xml:space="preserve">×</t>
    </r>
    <r>
      <rPr>
        <sz val="11"/>
        <rFont val="Noto Sans CJK SC"/>
        <family val="2"/>
      </rPr>
      <t xml:space="preserve">安全率</t>
    </r>
    <r>
      <rPr>
        <sz val="11"/>
        <rFont val="Yu Gothic"/>
        <family val="0"/>
        <charset val="1"/>
      </rPr>
      <t xml:space="preserve">4</t>
    </r>
  </si>
  <si>
    <t xml:space="preserve">項目</t>
  </si>
  <si>
    <t xml:space="preserve">注記</t>
  </si>
  <si>
    <r>
      <rPr>
        <sz val="11"/>
        <rFont val="Noto Sans CJK SC"/>
        <family val="2"/>
      </rPr>
      <t xml:space="preserve">評価に使う </t>
    </r>
    <r>
      <rPr>
        <sz val="11"/>
        <rFont val="Yu Gothic"/>
        <family val="0"/>
        <charset val="1"/>
      </rPr>
      <t xml:space="preserve">ks</t>
    </r>
  </si>
  <si>
    <r>
      <rPr>
        <sz val="11"/>
        <rFont val="Yu Gothic"/>
        <family val="0"/>
        <charset val="1"/>
      </rPr>
      <t xml:space="preserve">ks</t>
    </r>
    <r>
      <rPr>
        <sz val="11"/>
        <rFont val="Noto Sans CJK SC"/>
        <family val="2"/>
      </rPr>
      <t xml:space="preserve">の見当シートの </t>
    </r>
    <r>
      <rPr>
        <sz val="11"/>
        <rFont val="Yu Gothic"/>
        <family val="0"/>
        <charset val="1"/>
      </rPr>
      <t xml:space="preserve">25·d·lef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4</t>
    </r>
    <r>
      <rPr>
        <sz val="11"/>
        <rFont val="Noto Sans CJK SC"/>
        <family val="2"/>
      </rPr>
      <t xml:space="preserve">式の最大）を参照。手入力に変えてもよい</t>
    </r>
  </si>
  <si>
    <r>
      <rPr>
        <sz val="11"/>
        <rFont val="Noto Sans CJK SC"/>
        <family val="2"/>
      </rPr>
      <t xml:space="preserve">必要引抜き耐力（</t>
    </r>
    <r>
      <rPr>
        <sz val="11"/>
        <rFont val="Yu Gothic"/>
        <family val="0"/>
        <charset val="1"/>
      </rPr>
      <t xml:space="preserve">ks=2,000</t>
    </r>
    <r>
      <rPr>
        <sz val="11"/>
        <rFont val="Noto Sans CJK SC"/>
        <family val="2"/>
      </rPr>
      <t xml:space="preserve">〜</t>
    </r>
    <r>
      <rPr>
        <sz val="11"/>
        <rFont val="Yu Gothic"/>
        <family val="0"/>
        <charset val="1"/>
      </rPr>
      <t xml:space="preserve">5,000</t>
    </r>
    <r>
      <rPr>
        <sz val="11"/>
        <rFont val="Noto Sans CJK SC"/>
        <family val="2"/>
      </rPr>
      <t xml:space="preserve">の直線補間）</t>
    </r>
  </si>
  <si>
    <t xml:space="preserve">N</t>
  </si>
  <si>
    <r>
      <rPr>
        <sz val="11"/>
        <rFont val="Yu Gothic"/>
        <family val="0"/>
        <charset val="1"/>
      </rPr>
      <t xml:space="preserve">ks</t>
    </r>
    <r>
      <rPr>
        <sz val="11"/>
        <rFont val="Noto Sans CJK SC"/>
        <family val="2"/>
      </rPr>
      <t xml:space="preserve">が</t>
    </r>
    <r>
      <rPr>
        <sz val="11"/>
        <rFont val="Yu Gothic"/>
        <family val="0"/>
        <charset val="1"/>
      </rPr>
      <t xml:space="preserve">5,000</t>
    </r>
    <r>
      <rPr>
        <sz val="11"/>
        <rFont val="Noto Sans CJK SC"/>
        <family val="2"/>
      </rPr>
      <t xml:space="preserve">を超えるときは</t>
    </r>
    <r>
      <rPr>
        <sz val="11"/>
        <rFont val="Yu Gothic"/>
        <family val="0"/>
        <charset val="1"/>
      </rPr>
      <t xml:space="preserve">5,000</t>
    </r>
    <r>
      <rPr>
        <sz val="11"/>
        <rFont val="Noto Sans CJK SC"/>
        <family val="2"/>
      </rPr>
      <t xml:space="preserve">〜</t>
    </r>
    <r>
      <rPr>
        <sz val="11"/>
        <rFont val="Yu Gothic"/>
        <family val="0"/>
        <charset val="1"/>
      </rPr>
      <t xml:space="preserve">20,000</t>
    </r>
    <r>
      <rPr>
        <sz val="11"/>
        <rFont val="Noto Sans CJK SC"/>
        <family val="2"/>
      </rPr>
      <t xml:space="preserve">の間で補間</t>
    </r>
  </si>
  <si>
    <r>
      <rPr>
        <sz val="11"/>
        <rFont val="Noto Sans CJK SC"/>
        <family val="2"/>
      </rPr>
      <t xml:space="preserve">ねじ長</t>
    </r>
    <r>
      <rPr>
        <sz val="11"/>
        <rFont val="Yu Gothic"/>
        <family val="0"/>
        <charset val="1"/>
      </rPr>
      <t xml:space="preserve">30</t>
    </r>
    <r>
      <rPr>
        <sz val="11"/>
        <rFont val="Noto Sans CJK SC"/>
        <family val="2"/>
      </rPr>
      <t xml:space="preserve">の引抜き 下限値</t>
    </r>
  </si>
  <si>
    <r>
      <rPr>
        <sz val="11"/>
        <rFont val="Noto Sans CJK SC"/>
        <family val="2"/>
      </rPr>
      <t xml:space="preserve">カタログ </t>
    </r>
    <r>
      <rPr>
        <sz val="11"/>
        <rFont val="Yu Gothic"/>
        <family val="0"/>
        <charset val="1"/>
      </rPr>
      <t xml:space="preserve">DXP6--0 </t>
    </r>
    <r>
      <rPr>
        <sz val="11"/>
        <rFont val="Noto Sans CJK SC"/>
        <family val="2"/>
      </rPr>
      <t xml:space="preserve">ねじ長</t>
    </r>
    <r>
      <rPr>
        <sz val="11"/>
        <rFont val="Yu Gothic"/>
        <family val="0"/>
        <charset val="1"/>
      </rPr>
      <t xml:space="preserve">30</t>
    </r>
    <r>
      <rPr>
        <sz val="11"/>
        <rFont val="Noto Sans CJK SC"/>
        <family val="2"/>
      </rPr>
      <t xml:space="preserve">：平均</t>
    </r>
    <r>
      <rPr>
        <sz val="11"/>
        <rFont val="Yu Gothic"/>
        <family val="0"/>
        <charset val="1"/>
      </rPr>
      <t xml:space="preserve">2.76kN</t>
    </r>
    <r>
      <rPr>
        <sz val="11"/>
        <rFont val="Noto Sans CJK SC"/>
        <family val="2"/>
      </rPr>
      <t xml:space="preserve">・下限</t>
    </r>
    <r>
      <rPr>
        <sz val="11"/>
        <rFont val="Yu Gothic"/>
        <family val="0"/>
        <charset val="1"/>
      </rPr>
      <t xml:space="preserve">1.82kN</t>
    </r>
    <r>
      <rPr>
        <sz val="11"/>
        <rFont val="Noto Sans CJK SC"/>
        <family val="2"/>
      </rPr>
      <t xml:space="preserve">（信頼水準</t>
    </r>
    <r>
      <rPr>
        <sz val="11"/>
        <rFont val="Yu Gothic"/>
        <family val="0"/>
        <charset val="1"/>
      </rPr>
      <t xml:space="preserve">75%</t>
    </r>
    <r>
      <rPr>
        <sz val="11"/>
        <rFont val="Noto Sans CJK SC"/>
        <family val="2"/>
      </rPr>
      <t xml:space="preserve">の</t>
    </r>
    <r>
      <rPr>
        <sz val="11"/>
        <rFont val="Yu Gothic"/>
        <family val="0"/>
        <charset val="1"/>
      </rPr>
      <t xml:space="preserve">95%</t>
    </r>
    <r>
      <rPr>
        <sz val="11"/>
        <rFont val="Noto Sans CJK SC"/>
        <family val="2"/>
      </rPr>
      <t xml:space="preserve">下側許容限界）。スギ機械等級</t>
    </r>
    <r>
      <rPr>
        <sz val="11"/>
        <rFont val="Yu Gothic"/>
        <family val="0"/>
        <charset val="1"/>
      </rPr>
      <t xml:space="preserve">E70</t>
    </r>
    <r>
      <rPr>
        <sz val="11"/>
        <rFont val="Noto Sans CJK SC"/>
        <family val="2"/>
      </rPr>
      <t xml:space="preserve">以上、単調加力、</t>
    </r>
    <r>
      <rPr>
        <sz val="11"/>
        <rFont val="Yu Gothic"/>
        <family val="0"/>
        <charset val="1"/>
      </rPr>
      <t xml:space="preserve">6</t>
    </r>
    <r>
      <rPr>
        <sz val="11"/>
        <rFont val="Noto Sans CJK SC"/>
        <family val="2"/>
      </rPr>
      <t xml:space="preserve">体。性能保証値ではない</t>
    </r>
  </si>
  <si>
    <r>
      <rPr>
        <b val="true"/>
        <sz val="11"/>
        <rFont val="Noto Sans CJK SC"/>
        <family val="2"/>
      </rPr>
      <t xml:space="preserve">余裕（下限値</t>
    </r>
    <r>
      <rPr>
        <b val="true"/>
        <sz val="11"/>
        <rFont val="Yu Gothic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必要引抜き耐力）</t>
    </r>
  </si>
  <si>
    <t xml:space="preserve">判定</t>
  </si>
  <si>
    <r>
      <rPr>
        <sz val="11"/>
        <rFont val="Noto Sans CJK SC"/>
        <family val="2"/>
      </rPr>
      <t xml:space="preserve">余裕</t>
    </r>
    <r>
      <rPr>
        <sz val="11"/>
        <rFont val="Yu Gothic"/>
        <family val="0"/>
        <charset val="1"/>
      </rPr>
      <t xml:space="preserve">1.0</t>
    </r>
    <r>
      <rPr>
        <sz val="11"/>
        <rFont val="Noto Sans CJK SC"/>
        <family val="2"/>
      </rPr>
      <t xml:space="preserve">倍前後のため、前提の確認が必要</t>
    </r>
  </si>
  <si>
    <r>
      <rPr>
        <sz val="11"/>
        <rFont val="Noto Sans CJK SC"/>
        <family val="2"/>
      </rPr>
      <t xml:space="preserve">参考：ねじ長</t>
    </r>
    <r>
      <rPr>
        <sz val="11"/>
        <rFont val="Yu Gothic"/>
        <family val="0"/>
        <charset val="1"/>
      </rPr>
      <t xml:space="preserve">30</t>
    </r>
    <r>
      <rPr>
        <sz val="11"/>
        <rFont val="Noto Sans CJK SC"/>
        <family val="2"/>
      </rPr>
      <t xml:space="preserve">の引抜き 平均値</t>
    </r>
  </si>
  <si>
    <t xml:space="preserve">同カタログ</t>
  </si>
  <si>
    <r>
      <rPr>
        <sz val="11"/>
        <rFont val="Noto Sans CJK SC"/>
        <family val="2"/>
      </rPr>
      <t xml:space="preserve">参考：ねじ長</t>
    </r>
    <r>
      <rPr>
        <sz val="11"/>
        <rFont val="Yu Gothic"/>
        <family val="0"/>
        <charset val="1"/>
      </rPr>
      <t xml:space="preserve">45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DXP6130</t>
    </r>
    <r>
      <rPr>
        <sz val="11"/>
        <rFont val="Noto Sans CJK SC"/>
        <family val="2"/>
      </rPr>
      <t xml:space="preserve">、全長</t>
    </r>
    <r>
      <rPr>
        <sz val="11"/>
        <rFont val="Yu Gothic"/>
        <family val="0"/>
        <charset val="1"/>
      </rPr>
      <t xml:space="preserve">130</t>
    </r>
    <r>
      <rPr>
        <sz val="11"/>
        <rFont val="Noto Sans CJK SC"/>
        <family val="2"/>
      </rPr>
      <t xml:space="preserve">）</t>
    </r>
  </si>
  <si>
    <t xml:space="preserve">使用不可</t>
  </si>
  <si>
    <r>
      <rPr>
        <sz val="11"/>
        <rFont val="Noto Sans CJK SC"/>
        <family val="2"/>
      </rPr>
      <t xml:space="preserve">全長</t>
    </r>
    <r>
      <rPr>
        <sz val="11"/>
        <rFont val="Yu Gothic"/>
        <family val="0"/>
        <charset val="1"/>
      </rPr>
      <t xml:space="preserve">130</t>
    </r>
    <r>
      <rPr>
        <sz val="11"/>
        <rFont val="Noto Sans CJK SC"/>
        <family val="2"/>
      </rPr>
      <t xml:space="preserve">が梁の幅</t>
    </r>
    <r>
      <rPr>
        <sz val="11"/>
        <rFont val="Yu Gothic"/>
        <family val="0"/>
        <charset val="1"/>
      </rPr>
      <t xml:space="preserve">10.5</t>
    </r>
    <r>
      <rPr>
        <sz val="11"/>
        <rFont val="Noto Sans CJK SC"/>
        <family val="2"/>
      </rPr>
      <t xml:space="preserve">を突き抜けるため。</t>
    </r>
    <r>
      <rPr>
        <sz val="11"/>
        <rFont val="Yu Gothic"/>
        <family val="0"/>
        <charset val="1"/>
      </rPr>
      <t xml:space="preserve">K063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K070</t>
    </r>
    <r>
      <rPr>
        <sz val="11"/>
        <rFont val="Noto Sans CJK SC"/>
        <family val="2"/>
      </rPr>
      <t xml:space="preserve">での「ねじ長</t>
    </r>
    <r>
      <rPr>
        <sz val="11"/>
        <rFont val="Yu Gothic"/>
        <family val="0"/>
        <charset val="1"/>
      </rPr>
      <t xml:space="preserve">45</t>
    </r>
    <r>
      <rPr>
        <sz val="11"/>
        <rFont val="Noto Sans CJK SC"/>
        <family val="2"/>
      </rPr>
      <t xml:space="preserve">なら余裕」は取り消し</t>
    </r>
  </si>
  <si>
    <t xml:space="preserve">成否の見立てに重なっている、確かめていない前提</t>
  </si>
  <si>
    <t xml:space="preserve">No.</t>
  </si>
  <si>
    <t xml:space="preserve">前提</t>
  </si>
  <si>
    <t xml:space="preserve">影響</t>
  </si>
  <si>
    <r>
      <rPr>
        <sz val="11"/>
        <rFont val="Yu Gothic"/>
        <family val="0"/>
        <charset val="1"/>
      </rPr>
      <t xml:space="preserve">ks</t>
    </r>
    <r>
      <rPr>
        <sz val="11"/>
        <rFont val="Noto Sans CJK SC"/>
        <family val="2"/>
      </rPr>
      <t xml:space="preserve">の式は欧州の全ねじタイプ用</t>
    </r>
  </si>
  <si>
    <r>
      <rPr>
        <sz val="11"/>
        <rFont val="Yu Gothic"/>
        <family val="0"/>
        <charset val="1"/>
      </rPr>
      <t xml:space="preserve">X</t>
    </r>
    <r>
      <rPr>
        <sz val="11"/>
        <rFont val="Noto Sans CJK SC"/>
        <family val="2"/>
      </rPr>
      <t xml:space="preserve">ポイントビス（半ねじ）で </t>
    </r>
    <r>
      <rPr>
        <sz val="11"/>
        <rFont val="Yu Gothic"/>
        <family val="0"/>
        <charset val="1"/>
      </rPr>
      <t xml:space="preserve">ks </t>
    </r>
    <r>
      <rPr>
        <sz val="11"/>
        <rFont val="Noto Sans CJK SC"/>
        <family val="2"/>
      </rPr>
      <t xml:space="preserve">が異なれば、必要引抜き耐力が変わる（</t>
    </r>
    <r>
      <rPr>
        <sz val="11"/>
        <rFont val="Yu Gothic"/>
        <family val="0"/>
        <charset val="1"/>
      </rPr>
      <t xml:space="preserve">ks</t>
    </r>
    <r>
      <rPr>
        <sz val="11"/>
        <rFont val="Noto Sans CJK SC"/>
        <family val="2"/>
      </rPr>
      <t xml:space="preserve">が大きいほど厳しい）</t>
    </r>
  </si>
  <si>
    <r>
      <rPr>
        <sz val="11"/>
        <rFont val="Noto Sans CJK SC"/>
        <family val="2"/>
      </rPr>
      <t xml:space="preserve">下限</t>
    </r>
    <r>
      <rPr>
        <sz val="11"/>
        <rFont val="Yu Gothic"/>
        <family val="0"/>
        <charset val="1"/>
      </rPr>
      <t xml:space="preserve">1.82kN</t>
    </r>
    <r>
      <rPr>
        <sz val="11"/>
        <rFont val="Noto Sans CJK SC"/>
        <family val="2"/>
      </rPr>
      <t xml:space="preserve">はスギ機械等級</t>
    </r>
    <r>
      <rPr>
        <sz val="11"/>
        <rFont val="Yu Gothic"/>
        <family val="0"/>
        <charset val="1"/>
      </rPr>
      <t xml:space="preserve">E70</t>
    </r>
    <r>
      <rPr>
        <sz val="11"/>
        <rFont val="Noto Sans CJK SC"/>
        <family val="2"/>
      </rPr>
      <t xml:space="preserve">以上での試験値</t>
    </r>
  </si>
  <si>
    <t xml:space="preserve">梁の樹種・等級が未確認。異なれば耐力が上下する</t>
  </si>
  <si>
    <t xml:space="preserve">押し込み側を「ねじのばね」で受けるモデル</t>
  </si>
  <si>
    <t xml:space="preserve">実際は板が梁に当たって支える。回転の支点が板の縁に移り、引抜きが変わる可能性</t>
  </si>
  <si>
    <t xml:space="preserve">ねじの端あき・間隔の規定</t>
  </si>
  <si>
    <r>
      <rPr>
        <sz val="11"/>
        <rFont val="Noto Sans CJK SC"/>
        <family val="2"/>
      </rPr>
      <t xml:space="preserve">木質構造用ねじの規定は未確認。丸鋼の例（縁距離</t>
    </r>
    <r>
      <rPr>
        <sz val="11"/>
        <rFont val="Yu Gothic"/>
        <family val="0"/>
        <charset val="1"/>
      </rPr>
      <t xml:space="preserve">4d</t>
    </r>
    <r>
      <rPr>
        <sz val="11"/>
        <rFont val="Noto Sans CJK SC"/>
        <family val="2"/>
      </rPr>
      <t xml:space="preserve">・端距離</t>
    </r>
    <r>
      <rPr>
        <sz val="11"/>
        <rFont val="Yu Gothic"/>
        <family val="0"/>
        <charset val="1"/>
      </rPr>
      <t xml:space="preserve">7d</t>
    </r>
    <r>
      <rPr>
        <sz val="11"/>
        <rFont val="Noto Sans CJK SC"/>
        <family val="2"/>
      </rPr>
      <t xml:space="preserve">）なら</t>
    </r>
    <r>
      <rPr>
        <sz val="11"/>
        <rFont val="Yu Gothic"/>
        <family val="0"/>
        <charset val="1"/>
      </rPr>
      <t xml:space="preserve">h=268</t>
    </r>
    <r>
      <rPr>
        <sz val="11"/>
        <rFont val="Noto Sans CJK SC"/>
        <family val="2"/>
      </rPr>
      <t xml:space="preserve">（上面から</t>
    </r>
    <r>
      <rPr>
        <sz val="11"/>
        <rFont val="Yu Gothic"/>
        <family val="0"/>
        <charset val="1"/>
      </rPr>
      <t xml:space="preserve">2.0</t>
    </r>
    <r>
      <rPr>
        <sz val="11"/>
        <rFont val="Noto Sans CJK SC"/>
        <family val="2"/>
      </rPr>
      <t xml:space="preserve">）は不可、</t>
    </r>
    <r>
      <rPr>
        <sz val="11"/>
        <rFont val="Yu Gothic"/>
        <family val="0"/>
        <charset val="1"/>
      </rPr>
      <t xml:space="preserve">h=257</t>
    </r>
    <r>
      <rPr>
        <sz val="11"/>
        <rFont val="Noto Sans CJK SC"/>
        <family val="2"/>
      </rPr>
      <t xml:space="preserve">はぎりぎり</t>
    </r>
  </si>
  <si>
    <r>
      <rPr>
        <sz val="11"/>
        <rFont val="Noto Sans CJK SC"/>
        <family val="2"/>
      </rPr>
      <t xml:space="preserve">左の</t>
    </r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付近の上のねじと横材の重なり</t>
    </r>
  </si>
  <si>
    <r>
      <rPr>
        <sz val="11"/>
        <rFont val="Yu Gothic"/>
        <family val="0"/>
        <charset val="1"/>
      </rPr>
      <t xml:space="preserve">K071</t>
    </r>
    <r>
      <rPr>
        <sz val="11"/>
        <rFont val="Noto Sans CJK SC"/>
        <family val="2"/>
      </rPr>
      <t xml:space="preserve">で判明。ねじか横材の位置をずらす必要</t>
    </r>
  </si>
  <si>
    <t xml:space="preserve">鋼板架台でのせん断値</t>
  </si>
  <si>
    <t xml:space="preserve">カタログのせん断試験は木の側材。鋼板での値は未確認</t>
  </si>
  <si>
    <t xml:space="preserve">ここからの選択肢</t>
  </si>
  <si>
    <t xml:space="preserve">選択肢</t>
  </si>
  <si>
    <t xml:space="preserve">内容</t>
  </si>
  <si>
    <t xml:space="preserve">提案順</t>
  </si>
  <si>
    <t xml:space="preserve">計算モデルを実際に近づける</t>
  </si>
  <si>
    <t xml:space="preserve">押し込み側を「板が梁に当たる（押すだけ効くばね）」に直し、今の余裕の実態をつかむ</t>
  </si>
  <si>
    <t xml:space="preserve">耐力側を上げる工夫を並べて比べる</t>
  </si>
  <si>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B</t>
    </r>
    <r>
      <rPr>
        <sz val="11"/>
        <rFont val="Noto Sans CJK SC"/>
        <family val="2"/>
      </rPr>
      <t xml:space="preserve">のまわりのねじをさらに増やす、板を厚くする（梁面とリンク面のすき間 左</t>
    </r>
    <r>
      <rPr>
        <sz val="11"/>
        <rFont val="Yu Gothic"/>
        <family val="0"/>
        <charset val="1"/>
      </rPr>
      <t xml:space="preserve">2.5</t>
    </r>
    <r>
      <rPr>
        <sz val="11"/>
        <rFont val="Noto Sans CJK SC"/>
        <family val="2"/>
      </rPr>
      <t xml:space="preserve">・右</t>
    </r>
    <r>
      <rPr>
        <sz val="11"/>
        <rFont val="Yu Gothic"/>
        <family val="0"/>
        <charset val="1"/>
      </rPr>
      <t xml:space="preserve">2.0</t>
    </r>
    <r>
      <rPr>
        <sz val="11"/>
        <rFont val="Noto Sans CJK SC"/>
        <family val="2"/>
      </rPr>
      <t xml:space="preserve">の範囲で）など</t>
    </r>
  </si>
  <si>
    <t xml:space="preserve">荷重側の前提を監査する</t>
  </si>
  <si>
    <r>
      <rPr>
        <sz val="11"/>
        <rFont val="Yu Gothic"/>
        <family val="0"/>
        <charset val="1"/>
      </rPr>
      <t xml:space="preserve">KH=2.0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A04-006</t>
    </r>
    <r>
      <rPr>
        <sz val="11"/>
        <rFont val="Noto Sans CJK SC"/>
        <family val="2"/>
      </rPr>
      <t xml:space="preserve">）・安全率</t>
    </r>
    <r>
      <rPr>
        <sz val="11"/>
        <rFont val="Yu Gothic"/>
        <family val="0"/>
        <charset val="1"/>
      </rPr>
      <t xml:space="preserve">4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A04-007</t>
    </r>
    <r>
      <rPr>
        <sz val="11"/>
        <rFont val="Noto Sans CJK SC"/>
        <family val="2"/>
      </rPr>
      <t xml:space="preserve">）は前提。譲歩の余地の有無は依頼主の判断。</t>
    </r>
    <r>
      <rPr>
        <sz val="11"/>
        <rFont val="Yu Gothic"/>
        <family val="0"/>
        <charset val="1"/>
      </rPr>
      <t xml:space="preserve">Claude</t>
    </r>
    <r>
      <rPr>
        <sz val="11"/>
        <rFont val="Noto Sans CJK SC"/>
        <family val="2"/>
      </rPr>
      <t xml:space="preserve">から緩める提案はしない</t>
    </r>
  </si>
  <si>
    <t xml:space="preserve">—</t>
  </si>
  <si>
    <t xml:space="preserve">資料</t>
  </si>
  <si>
    <r>
      <rPr>
        <b val="true"/>
        <sz val="11"/>
        <rFont val="Yu Gothic"/>
        <family val="0"/>
        <charset val="1"/>
      </rPr>
      <t xml:space="preserve">URL</t>
    </r>
    <r>
      <rPr>
        <b val="true"/>
        <sz val="11"/>
        <rFont val="Noto Sans CJK SC"/>
        <family val="2"/>
      </rPr>
      <t xml:space="preserve">・ファイル</t>
    </r>
  </si>
  <si>
    <r>
      <rPr>
        <sz val="11"/>
        <rFont val="Noto Sans CJK SC"/>
        <family val="2"/>
      </rPr>
      <t xml:space="preserve">若井産業 木質構造用ねじカタログ </t>
    </r>
    <r>
      <rPr>
        <sz val="11"/>
        <rFont val="Yu Gothic"/>
        <family val="0"/>
        <charset val="1"/>
      </rPr>
      <t xml:space="preserve">202504I</t>
    </r>
    <r>
      <rPr>
        <sz val="11"/>
        <rFont val="Noto Sans CJK SC"/>
        <family val="2"/>
      </rPr>
      <t xml:space="preserve">改</t>
    </r>
  </si>
  <si>
    <t xml:space="preserve">https://www.wakaisangyo.co.jp/wp-content/themes/wakai_theme/images/top/2504ScrewForTimberStructureCatalog_web.pdf</t>
  </si>
  <si>
    <r>
      <rPr>
        <sz val="11"/>
        <rFont val="Yu Gothic"/>
        <family val="0"/>
        <charset val="1"/>
      </rPr>
      <t xml:space="preserve">H.J. Blaß, Y. Steige: Steifigkeit axial beanspruchter Vollgewindeschrauben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KIT, Karlsruher Berichte Bd.34</t>
    </r>
    <r>
      <rPr>
        <sz val="11"/>
        <rFont val="Noto Sans CJK SC"/>
        <family val="2"/>
      </rPr>
      <t xml:space="preserve">）</t>
    </r>
  </si>
  <si>
    <t xml:space="preserve">https://publikationen.bibliothek.kit.edu/1000085040/23845901</t>
  </si>
  <si>
    <r>
      <rPr>
        <sz val="11"/>
        <rFont val="Yu Gothic"/>
        <family val="0"/>
        <charset val="1"/>
      </rPr>
      <t xml:space="preserve">COST Action FP1402 STSM</t>
    </r>
    <r>
      <rPr>
        <sz val="11"/>
        <rFont val="Noto Sans CJK SC"/>
        <family val="2"/>
      </rPr>
      <t xml:space="preserve">報告（</t>
    </r>
    <r>
      <rPr>
        <sz val="11"/>
        <rFont val="Yu Gothic"/>
        <family val="0"/>
        <charset val="1"/>
      </rPr>
      <t xml:space="preserve">A. Ringhofer</t>
    </r>
    <r>
      <rPr>
        <sz val="11"/>
        <rFont val="Noto Sans CJK SC"/>
        <family val="2"/>
      </rPr>
      <t xml:space="preserve">）</t>
    </r>
    <r>
      <rPr>
        <sz val="11"/>
        <rFont val="Yu Gothic"/>
        <family val="0"/>
        <charset val="1"/>
      </rPr>
      <t xml:space="preserve">Axially Loaded Self-Tapping Screws</t>
    </r>
  </si>
  <si>
    <t xml:space="preserve">https://webarchiv.typo3.tum.de/TUM/costfp1402/fileadmin/w00btl/www/All_Members/FP1402_STSM-report_Andreas-Ringhofer.pdf</t>
  </si>
  <si>
    <r>
      <rPr>
        <sz val="11"/>
        <rFont val="Noto Sans CJK SC"/>
        <family val="2"/>
      </rPr>
      <t xml:space="preserve">北海道立総合研究機構 林産試だより </t>
    </r>
    <r>
      <rPr>
        <sz val="11"/>
        <rFont val="Yu Gothic"/>
        <family val="0"/>
        <charset val="1"/>
      </rPr>
      <t xml:space="preserve">2010</t>
    </r>
    <r>
      <rPr>
        <sz val="11"/>
        <rFont val="Noto Sans CJK SC"/>
        <family val="2"/>
      </rPr>
      <t xml:space="preserve">年</t>
    </r>
    <r>
      <rPr>
        <sz val="11"/>
        <rFont val="Yu Gothic"/>
        <family val="0"/>
        <charset val="1"/>
      </rPr>
      <t xml:space="preserve">5</t>
    </r>
    <r>
      <rPr>
        <sz val="11"/>
        <rFont val="Noto Sans CJK SC"/>
        <family val="2"/>
      </rPr>
      <t xml:space="preserve">月号（縁距離</t>
    </r>
    <r>
      <rPr>
        <sz val="11"/>
        <rFont val="Yu Gothic"/>
        <family val="0"/>
        <charset val="1"/>
      </rPr>
      <t xml:space="preserve">4d</t>
    </r>
    <r>
      <rPr>
        <sz val="11"/>
        <rFont val="Noto Sans CJK SC"/>
        <family val="2"/>
      </rPr>
      <t xml:space="preserve">・端距離</t>
    </r>
    <r>
      <rPr>
        <sz val="11"/>
        <rFont val="Yu Gothic"/>
        <family val="0"/>
        <charset val="1"/>
      </rPr>
      <t xml:space="preserve">7d</t>
    </r>
    <r>
      <rPr>
        <sz val="11"/>
        <rFont val="Noto Sans CJK SC"/>
        <family val="2"/>
      </rPr>
      <t xml:space="preserve">：丸鋼の例）</t>
    </r>
  </si>
  <si>
    <t xml:space="preserve">https://www.hro.or.jp/upload/49721/1100508.pdf</t>
  </si>
  <si>
    <r>
      <rPr>
        <sz val="11"/>
        <rFont val="Yu Gothic"/>
        <family val="0"/>
        <charset val="1"/>
      </rPr>
      <t xml:space="preserve">K070 O</t>
    </r>
    <r>
      <rPr>
        <sz val="11"/>
        <rFont val="Noto Sans CJK SC"/>
        <family val="2"/>
      </rPr>
      <t xml:space="preserve">と </t>
    </r>
    <r>
      <rPr>
        <sz val="11"/>
        <rFont val="Yu Gothic"/>
        <family val="0"/>
        <charset val="1"/>
      </rPr>
      <t xml:space="preserve">B</t>
    </r>
    <r>
      <rPr>
        <sz val="11"/>
        <rFont val="Noto Sans CJK SC"/>
        <family val="2"/>
      </rPr>
      <t xml:space="preserve">のまわりにねじを集めたときの力</t>
    </r>
  </si>
  <si>
    <r>
      <rPr>
        <sz val="11"/>
        <rFont val="Yu Gothic"/>
        <family val="0"/>
        <charset val="1"/>
      </rPr>
      <t xml:space="preserve">2610030957_K070_O</t>
    </r>
    <r>
      <rPr>
        <sz val="11"/>
        <rFont val="Noto Sans CJK SC"/>
        <family val="2"/>
      </rPr>
      <t xml:space="preserve">と</t>
    </r>
    <r>
      <rPr>
        <sz val="11"/>
        <rFont val="Yu Gothic"/>
        <family val="0"/>
        <charset val="1"/>
      </rPr>
      <t xml:space="preserve">B</t>
    </r>
    <r>
      <rPr>
        <sz val="11"/>
        <rFont val="Noto Sans CJK SC"/>
        <family val="2"/>
      </rPr>
      <t xml:space="preserve">のまわりにねじを集めたときの力</t>
    </r>
    <r>
      <rPr>
        <sz val="11"/>
        <rFont val="Yu Gothic"/>
        <family val="0"/>
        <charset val="1"/>
      </rPr>
      <t xml:space="preserve">.csv</t>
    </r>
  </si>
  <si>
    <r>
      <rPr>
        <sz val="11"/>
        <rFont val="Yu Gothic"/>
        <family val="0"/>
        <charset val="1"/>
      </rPr>
      <t xml:space="preserve">K071 </t>
    </r>
    <r>
      <rPr>
        <sz val="11"/>
        <rFont val="Noto Sans CJK SC"/>
        <family val="2"/>
      </rPr>
      <t xml:space="preserve">架台とねじの配置</t>
    </r>
  </si>
  <si>
    <r>
      <rPr>
        <sz val="11"/>
        <rFont val="Yu Gothic"/>
        <family val="0"/>
        <charset val="1"/>
      </rPr>
      <t xml:space="preserve">2610031002_K071_</t>
    </r>
    <r>
      <rPr>
        <sz val="11"/>
        <rFont val="Noto Sans CJK SC"/>
        <family val="2"/>
      </rPr>
      <t xml:space="preserve">架台とねじの配置</t>
    </r>
    <r>
      <rPr>
        <sz val="11"/>
        <rFont val="Yu Gothic"/>
        <family val="0"/>
        <charset val="1"/>
      </rPr>
      <t xml:space="preserve">.svg</t>
    </r>
  </si>
  <si>
    <r>
      <rPr>
        <sz val="11"/>
        <rFont val="Noto Sans CJK SC"/>
        <family val="2"/>
      </rPr>
      <t xml:space="preserve">部屋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SC"/>
        <family val="2"/>
      </rPr>
      <t xml:space="preserve">（梁の幅</t>
    </r>
    <r>
      <rPr>
        <sz val="11"/>
        <rFont val="Yu Gothic"/>
        <family val="0"/>
        <charset val="1"/>
      </rPr>
      <t xml:space="preserve">10.5</t>
    </r>
    <r>
      <rPr>
        <sz val="11"/>
        <rFont val="Noto Sans CJK SC"/>
        <family val="2"/>
      </rPr>
      <t xml:space="preserve">・高さ</t>
    </r>
    <r>
      <rPr>
        <sz val="11"/>
        <rFont val="Yu Gothic"/>
        <family val="0"/>
        <charset val="1"/>
      </rPr>
      <t xml:space="preserve">15.5</t>
    </r>
    <r>
      <rPr>
        <sz val="11"/>
        <rFont val="Noto Sans CJK SC"/>
        <family val="2"/>
      </rPr>
      <t xml:space="preserve">）</t>
    </r>
  </si>
  <si>
    <t xml:space="preserve">KB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</si>
</sst>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\倍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Yu Gothic"/>
      <family val="0"/>
      <charset val="1"/>
    </font>
    <font>
      <b val="true"/>
      <sz val="13"/>
      <name val="Noto Sans CJK SC"/>
      <family val="2"/>
    </font>
    <font>
      <sz val="11"/>
      <name val="Noto Sans CJK SC"/>
      <family val="2"/>
    </font>
    <font>
      <b val="true"/>
      <sz val="11"/>
      <name val="Noto Sans CJK SC"/>
      <family val="2"/>
    </font>
    <font>
      <sz val="11"/>
      <name val="Yu Gothic"/>
      <family val="0"/>
      <charset val="1"/>
    </font>
    <font>
      <sz val="11"/>
      <color rgb="FF0000FF"/>
      <name val="Yu Gothic"/>
      <family val="0"/>
      <charset val="1"/>
    </font>
    <font>
      <b val="true"/>
      <sz val="11"/>
      <name val="Yu Gothic"/>
      <family val="0"/>
      <charset val="1"/>
    </font>
    <font>
      <sz val="11"/>
      <color rgb="FF008000"/>
      <name val="Yu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2.8" hidden="false" customHeight="false" outlineLevel="0" collapsed="false">
      <c r="A5" s="4" t="s">
        <v>6</v>
      </c>
      <c r="B5" s="5" t="n">
        <v>6</v>
      </c>
      <c r="C5" s="6" t="s">
        <v>7</v>
      </c>
      <c r="D5" s="6" t="s">
        <v>8</v>
      </c>
    </row>
    <row r="6" customFormat="false" ht="32.8" hidden="false" customHeight="false" outlineLevel="0" collapsed="false">
      <c r="A6" s="4" t="s">
        <v>9</v>
      </c>
      <c r="B6" s="5" t="n">
        <v>30</v>
      </c>
      <c r="C6" s="6" t="s">
        <v>7</v>
      </c>
      <c r="D6" s="6" t="s">
        <v>10</v>
      </c>
    </row>
    <row r="7" customFormat="false" ht="17.15" hidden="false" customHeight="false" outlineLevel="0" collapsed="false">
      <c r="A7" s="4" t="s">
        <v>11</v>
      </c>
      <c r="B7" s="7" t="n">
        <v>330</v>
      </c>
      <c r="C7" s="6" t="s">
        <v>12</v>
      </c>
      <c r="D7" s="4" t="s">
        <v>13</v>
      </c>
    </row>
    <row r="8" customFormat="false" ht="17.15" hidden="false" customHeight="false" outlineLevel="0" collapsed="false">
      <c r="A8" s="4" t="s">
        <v>14</v>
      </c>
      <c r="B8" s="7" t="n">
        <v>420</v>
      </c>
      <c r="C8" s="6" t="s">
        <v>12</v>
      </c>
      <c r="D8" s="4" t="s">
        <v>13</v>
      </c>
    </row>
    <row r="10" customFormat="false" ht="17.15" hidden="false" customHeight="false" outlineLevel="0" collapsed="false">
      <c r="A10" s="3" t="s">
        <v>15</v>
      </c>
      <c r="B10" s="8" t="s">
        <v>16</v>
      </c>
      <c r="C10" s="3" t="s">
        <v>4</v>
      </c>
      <c r="D10" s="3" t="s">
        <v>17</v>
      </c>
    </row>
    <row r="11" customFormat="false" ht="32.8" hidden="false" customHeight="false" outlineLevel="0" collapsed="false">
      <c r="A11" s="6" t="s">
        <v>18</v>
      </c>
      <c r="B11" s="9" t="n">
        <f aca="false">25*B5*B6</f>
        <v>4500</v>
      </c>
      <c r="C11" s="6" t="s">
        <v>19</v>
      </c>
      <c r="D11" s="6" t="s">
        <v>20</v>
      </c>
    </row>
    <row r="12" customFormat="false" ht="17.15" hidden="false" customHeight="false" outlineLevel="0" collapsed="false">
      <c r="A12" s="6" t="s">
        <v>21</v>
      </c>
      <c r="B12" s="9" t="n">
        <f aca="false">780*B5^0.2*B6^0.4</f>
        <v>4350.84242474633</v>
      </c>
      <c r="C12" s="6" t="s">
        <v>19</v>
      </c>
      <c r="D12" s="6" t="s">
        <v>22</v>
      </c>
    </row>
    <row r="13" customFormat="false" ht="46.25" hidden="false" customHeight="false" outlineLevel="0" collapsed="false">
      <c r="A13" s="6" t="s">
        <v>23</v>
      </c>
      <c r="B13" s="9" t="n">
        <f aca="false">234*B7^0.2*B5^0.2*B6^0.4</f>
        <v>4162.91360018496</v>
      </c>
      <c r="C13" s="6" t="s">
        <v>19</v>
      </c>
      <c r="D13" s="6" t="s">
        <v>24</v>
      </c>
    </row>
    <row r="14" customFormat="false" ht="46.25" hidden="false" customHeight="false" outlineLevel="0" collapsed="false">
      <c r="A14" s="6" t="s">
        <v>25</v>
      </c>
      <c r="B14" s="9" t="n">
        <f aca="false">234*B8^0.2*B5^0.2*B6^0.4</f>
        <v>4368.62198938132</v>
      </c>
      <c r="C14" s="6" t="s">
        <v>19</v>
      </c>
      <c r="D14" s="4" t="s">
        <v>26</v>
      </c>
    </row>
    <row r="16" customFormat="false" ht="17.15" hidden="false" customHeight="false" outlineLevel="0" collapsed="false">
      <c r="A16" s="10" t="s">
        <v>27</v>
      </c>
      <c r="B16" s="11" t="n">
        <f aca="false">MIN(B11:B14)</f>
        <v>4162.91360018496</v>
      </c>
      <c r="C16" s="6" t="s">
        <v>19</v>
      </c>
    </row>
    <row r="17" customFormat="false" ht="17.15" hidden="false" customHeight="false" outlineLevel="0" collapsed="false">
      <c r="A17" s="10" t="s">
        <v>28</v>
      </c>
      <c r="B17" s="11" t="n">
        <f aca="false">MAX(B11:B14)</f>
        <v>4500</v>
      </c>
      <c r="C17" s="6" t="s">
        <v>19</v>
      </c>
    </row>
    <row r="19" customFormat="false" ht="45" hidden="false" customHeight="true" outlineLevel="0" collapsed="false">
      <c r="A19" s="12" t="s">
        <v>29</v>
      </c>
      <c r="B19" s="12"/>
      <c r="C19" s="12"/>
      <c r="D19" s="12"/>
    </row>
  </sheetData>
  <mergeCells count="1"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6"/>
  </cols>
  <sheetData>
    <row r="1" customFormat="false" ht="20.1" hidden="false" customHeight="false" outlineLevel="0" collapsed="false">
      <c r="A1" s="13" t="s">
        <v>30</v>
      </c>
    </row>
    <row r="3" customFormat="false" ht="32.8" hidden="false" customHeight="false" outlineLevel="0" collapsed="false">
      <c r="A3" s="8" t="s">
        <v>31</v>
      </c>
      <c r="B3" s="3" t="s">
        <v>32</v>
      </c>
      <c r="C3" s="3"/>
      <c r="D3" s="3" t="s">
        <v>33</v>
      </c>
    </row>
    <row r="4" customFormat="false" ht="17.15" hidden="false" customHeight="false" outlineLevel="0" collapsed="false">
      <c r="A4" s="14" t="n">
        <v>2000</v>
      </c>
      <c r="B4" s="14" t="n">
        <v>1472</v>
      </c>
      <c r="D4" s="6" t="s">
        <v>34</v>
      </c>
    </row>
    <row r="5" customFormat="false" ht="17.15" hidden="false" customHeight="false" outlineLevel="0" collapsed="false">
      <c r="A5" s="14" t="n">
        <v>5000</v>
      </c>
      <c r="B5" s="14" t="n">
        <v>1791</v>
      </c>
      <c r="D5" s="6" t="s">
        <v>34</v>
      </c>
    </row>
    <row r="6" customFormat="false" ht="17.15" hidden="false" customHeight="false" outlineLevel="0" collapsed="false">
      <c r="A6" s="14" t="n">
        <v>20000</v>
      </c>
      <c r="B6" s="14" t="n">
        <v>2297</v>
      </c>
      <c r="D6" s="6" t="s">
        <v>34</v>
      </c>
    </row>
    <row r="8" customFormat="false" ht="17.15" hidden="false" customHeight="false" outlineLevel="0" collapsed="false">
      <c r="A8" s="3" t="s">
        <v>35</v>
      </c>
      <c r="B8" s="3" t="s">
        <v>3</v>
      </c>
      <c r="C8" s="3" t="s">
        <v>4</v>
      </c>
      <c r="D8" s="3" t="s">
        <v>36</v>
      </c>
    </row>
    <row r="9" customFormat="false" ht="32.8" hidden="false" customHeight="false" outlineLevel="0" collapsed="false">
      <c r="A9" s="4" t="s">
        <v>37</v>
      </c>
      <c r="B9" s="15" t="n">
        <f aca="false">ksの見当!B11</f>
        <v>4500</v>
      </c>
      <c r="C9" s="6" t="s">
        <v>19</v>
      </c>
      <c r="D9" s="6" t="s">
        <v>38</v>
      </c>
    </row>
    <row r="10" customFormat="false" ht="32.8" hidden="false" customHeight="false" outlineLevel="0" collapsed="false">
      <c r="A10" s="4" t="s">
        <v>39</v>
      </c>
      <c r="B10" s="9" t="n">
        <f aca="false">IF(B9&lt;=A5,B4+(B5-B4)*(B9-A4)/(A5-A4),B5+(B6-B5)*(B9-A5)/(A6-A5))</f>
        <v>1737.83333333333</v>
      </c>
      <c r="C10" s="6" t="s">
        <v>40</v>
      </c>
      <c r="D10" s="6" t="s">
        <v>41</v>
      </c>
    </row>
    <row r="11" customFormat="false" ht="48.5" hidden="false" customHeight="false" outlineLevel="0" collapsed="false">
      <c r="A11" s="4" t="s">
        <v>42</v>
      </c>
      <c r="B11" s="14" t="n">
        <v>1820</v>
      </c>
      <c r="C11" s="6" t="s">
        <v>40</v>
      </c>
      <c r="D11" s="4" t="s">
        <v>43</v>
      </c>
    </row>
    <row r="12" customFormat="false" ht="17.15" hidden="false" customHeight="false" outlineLevel="0" collapsed="false">
      <c r="A12" s="16" t="s">
        <v>44</v>
      </c>
      <c r="B12" s="17" t="n">
        <f aca="false">B11/B10</f>
        <v>1.04728109715163</v>
      </c>
      <c r="C12" s="4"/>
    </row>
    <row r="13" customFormat="false" ht="32.8" hidden="false" customHeight="false" outlineLevel="0" collapsed="false">
      <c r="A13" s="16" t="s">
        <v>45</v>
      </c>
      <c r="B13" s="16" t="str">
        <f aca="false">IF(B12&gt;=1,"成立（余裕わずか）","不足")</f>
        <v>成立（余裕わずか）</v>
      </c>
      <c r="D13" s="4" t="s">
        <v>46</v>
      </c>
    </row>
    <row r="15" customFormat="false" ht="17.15" hidden="false" customHeight="false" outlineLevel="0" collapsed="false">
      <c r="A15" s="4" t="s">
        <v>47</v>
      </c>
      <c r="B15" s="14" t="n">
        <v>2760</v>
      </c>
      <c r="C15" s="6" t="s">
        <v>40</v>
      </c>
      <c r="D15" s="4" t="s">
        <v>48</v>
      </c>
    </row>
    <row r="16" customFormat="false" ht="32.8" hidden="false" customHeight="false" outlineLevel="0" collapsed="false">
      <c r="A16" s="4" t="s">
        <v>49</v>
      </c>
      <c r="B16" s="4" t="s">
        <v>50</v>
      </c>
      <c r="D16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13" t="s">
        <v>52</v>
      </c>
    </row>
    <row r="3" customFormat="false" ht="17.15" hidden="false" customHeight="false" outlineLevel="0" collapsed="false">
      <c r="A3" s="8" t="s">
        <v>53</v>
      </c>
      <c r="B3" s="3" t="s">
        <v>54</v>
      </c>
      <c r="C3" s="3" t="s">
        <v>55</v>
      </c>
    </row>
    <row r="4" customFormat="false" ht="33.75" hidden="false" customHeight="true" outlineLevel="0" collapsed="false">
      <c r="A4" s="4" t="n">
        <v>1</v>
      </c>
      <c r="B4" s="18" t="s">
        <v>56</v>
      </c>
      <c r="C4" s="6" t="s">
        <v>57</v>
      </c>
    </row>
    <row r="5" customFormat="false" ht="33.75" hidden="false" customHeight="true" outlineLevel="0" collapsed="false">
      <c r="A5" s="4" t="n">
        <v>2</v>
      </c>
      <c r="B5" s="19" t="s">
        <v>58</v>
      </c>
      <c r="C5" s="4" t="s">
        <v>59</v>
      </c>
    </row>
    <row r="6" customFormat="false" ht="33.75" hidden="false" customHeight="true" outlineLevel="0" collapsed="false">
      <c r="A6" s="4" t="n">
        <v>3</v>
      </c>
      <c r="B6" s="19" t="s">
        <v>60</v>
      </c>
      <c r="C6" s="4" t="s">
        <v>61</v>
      </c>
    </row>
    <row r="7" customFormat="false" ht="33.75" hidden="false" customHeight="true" outlineLevel="0" collapsed="false">
      <c r="A7" s="4" t="n">
        <v>4</v>
      </c>
      <c r="B7" s="19" t="s">
        <v>62</v>
      </c>
      <c r="C7" s="4" t="s">
        <v>63</v>
      </c>
    </row>
    <row r="8" customFormat="false" ht="33.75" hidden="false" customHeight="true" outlineLevel="0" collapsed="false">
      <c r="A8" s="4" t="n">
        <v>5</v>
      </c>
      <c r="B8" s="19" t="s">
        <v>64</v>
      </c>
      <c r="C8" s="6" t="s">
        <v>65</v>
      </c>
    </row>
    <row r="9" customFormat="false" ht="33.75" hidden="false" customHeight="true" outlineLevel="0" collapsed="false">
      <c r="A9" s="4" t="n">
        <v>6</v>
      </c>
      <c r="B9" s="19" t="s">
        <v>66</v>
      </c>
      <c r="C9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64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13" t="s">
        <v>68</v>
      </c>
    </row>
    <row r="3" customFormat="false" ht="17.15" hidden="false" customHeight="false" outlineLevel="0" collapsed="false">
      <c r="A3" s="8" t="s">
        <v>53</v>
      </c>
      <c r="B3" s="3" t="s">
        <v>69</v>
      </c>
      <c r="C3" s="3" t="s">
        <v>70</v>
      </c>
      <c r="D3" s="3" t="s">
        <v>71</v>
      </c>
    </row>
    <row r="4" customFormat="false" ht="33.75" hidden="false" customHeight="true" outlineLevel="0" collapsed="false">
      <c r="A4" s="4" t="n">
        <v>1</v>
      </c>
      <c r="B4" s="4" t="s">
        <v>72</v>
      </c>
      <c r="C4" s="4" t="s">
        <v>73</v>
      </c>
      <c r="D4" s="4" t="n">
        <v>1</v>
      </c>
    </row>
    <row r="5" customFormat="false" ht="33.75" hidden="false" customHeight="true" outlineLevel="0" collapsed="false">
      <c r="A5" s="4" t="n">
        <v>2</v>
      </c>
      <c r="B5" s="4" t="s">
        <v>74</v>
      </c>
      <c r="C5" s="6" t="s">
        <v>75</v>
      </c>
      <c r="D5" s="4" t="n">
        <v>2</v>
      </c>
    </row>
    <row r="6" customFormat="false" ht="33.75" hidden="false" customHeight="true" outlineLevel="0" collapsed="false">
      <c r="A6" s="4" t="n">
        <v>3</v>
      </c>
      <c r="B6" s="4" t="s">
        <v>76</v>
      </c>
      <c r="C6" s="6" t="s">
        <v>77</v>
      </c>
      <c r="D6" s="6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3" t="s">
        <v>33</v>
      </c>
    </row>
    <row r="3" customFormat="false" ht="17.15" hidden="false" customHeight="false" outlineLevel="0" collapsed="false">
      <c r="A3" s="3" t="s">
        <v>79</v>
      </c>
      <c r="B3" s="8" t="s">
        <v>80</v>
      </c>
    </row>
    <row r="4" customFormat="false" ht="32.8" hidden="false" customHeight="false" outlineLevel="0" collapsed="false">
      <c r="A4" s="4" t="s">
        <v>81</v>
      </c>
      <c r="B4" s="6" t="s">
        <v>82</v>
      </c>
    </row>
    <row r="5" customFormat="false" ht="59.7" hidden="false" customHeight="false" outlineLevel="0" collapsed="false">
      <c r="A5" s="6" t="s">
        <v>83</v>
      </c>
      <c r="B5" s="6" t="s">
        <v>84</v>
      </c>
    </row>
    <row r="6" customFormat="false" ht="46.25" hidden="false" customHeight="false" outlineLevel="0" collapsed="false">
      <c r="A6" s="6" t="s">
        <v>85</v>
      </c>
      <c r="B6" s="6" t="s">
        <v>86</v>
      </c>
    </row>
    <row r="7" customFormat="false" ht="48.5" hidden="false" customHeight="false" outlineLevel="0" collapsed="false">
      <c r="A7" s="4" t="s">
        <v>87</v>
      </c>
      <c r="B7" s="6" t="s">
        <v>88</v>
      </c>
    </row>
    <row r="8" customFormat="false" ht="32.8" hidden="false" customHeight="false" outlineLevel="0" collapsed="false">
      <c r="A8" s="6" t="s">
        <v>89</v>
      </c>
      <c r="B8" s="6" t="s">
        <v>90</v>
      </c>
    </row>
    <row r="9" customFormat="false" ht="17.15" hidden="false" customHeight="false" outlineLevel="0" collapsed="false">
      <c r="A9" s="6" t="s">
        <v>91</v>
      </c>
      <c r="B9" s="6" t="s">
        <v>92</v>
      </c>
    </row>
    <row r="10" customFormat="false" ht="17.15" hidden="false" customHeight="false" outlineLevel="0" collapsed="false">
      <c r="A10" s="4" t="s">
        <v>93</v>
      </c>
      <c r="B10" s="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2026-10-03T01:44:28Z</dcterms:created>
  <dc:creator>openpyxl</dc:creator>
  <dc:description/>
  <dc:language>en-US</dc:language>
  <cp:lastModifiedBy/>
  <dcterms:modified xsi:type="dcterms:W3CDTF">2026-10-03T01:44:28Z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